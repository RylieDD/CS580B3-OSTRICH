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05d0f11447c630/Documents/CS-580/Final_Results/Final_Results/"/>
    </mc:Choice>
  </mc:AlternateContent>
  <xr:revisionPtr revIDLastSave="0" documentId="8_{490ECC4D-86CC-4332-A235-2E75820DE880}" xr6:coauthVersionLast="47" xr6:coauthVersionMax="47" xr10:uidLastSave="{00000000-0000-0000-0000-000000000000}"/>
  <bookViews>
    <workbookView xWindow="30612" yWindow="-108" windowWidth="30936" windowHeight="17076" xr2:uid="{1BFE3199-D1F0-4D56-BAC9-8D36884F886A}"/>
  </bookViews>
  <sheets>
    <sheet name="time model results" sheetId="14" r:id="rId1"/>
    <sheet name="time_model_results_train_few_no" sheetId="1" r:id="rId2"/>
    <sheet name="time_model_results_train_few_th" sheetId="3" r:id="rId3"/>
    <sheet name="time_model_results_train_zero_n" sheetId="4" r:id="rId4"/>
    <sheet name="time_model_results_train_zero_t" sheetId="5" r:id="rId5"/>
    <sheet name="time_model_results_val_few_no" sheetId="10" r:id="rId6"/>
    <sheet name="time_model_results_val_few_thin" sheetId="11" r:id="rId7"/>
    <sheet name="time_model_results_val_zero_no" sheetId="12" r:id="rId8"/>
    <sheet name="time_model_results_val_zero_thi" sheetId="13" r:id="rId9"/>
  </sheets>
  <calcPr calcId="0"/>
</workbook>
</file>

<file path=xl/calcChain.xml><?xml version="1.0" encoding="utf-8"?>
<calcChain xmlns="http://schemas.openxmlformats.org/spreadsheetml/2006/main">
  <c r="C2" i="14" l="1"/>
  <c r="B2" i="14"/>
  <c r="B3" i="14"/>
  <c r="C3" i="14"/>
  <c r="B4" i="14"/>
  <c r="C4" i="14"/>
  <c r="B5" i="14"/>
  <c r="C5" i="14"/>
  <c r="B42" i="13"/>
  <c r="B42" i="12"/>
  <c r="B42" i="11"/>
  <c r="B42" i="10"/>
  <c r="B42" i="5"/>
  <c r="B42" i="4"/>
  <c r="B42" i="3"/>
  <c r="B42" i="1"/>
</calcChain>
</file>

<file path=xl/sharedStrings.xml><?xml version="1.0" encoding="utf-8"?>
<sst xmlns="http://schemas.openxmlformats.org/spreadsheetml/2006/main" count="30" uniqueCount="9">
  <si>
    <t>PR</t>
  </si>
  <si>
    <t>Total Model Time</t>
  </si>
  <si>
    <t>Total Tokens</t>
  </si>
  <si>
    <t>Validate, Thinking</t>
  </si>
  <si>
    <t>Validate, Non-Thinking</t>
  </si>
  <si>
    <t>Train, Thinking</t>
  </si>
  <si>
    <t>Train, Non-Thinking</t>
  </si>
  <si>
    <t>Few-Shot</t>
  </si>
  <si>
    <t>Zero-Shot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</si>
</sst>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Time Comparisons between Zero-Shot and Few-Shot Prompting per Dataset and Mode (in Minutes)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model results'!$B$1</c:f>
              <c:strCache>
                <c:ptCount val="1"/>
                <c:pt idx="0">
                  <c:v>Zero-Shot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'time model results'!$A$2:$A$5</c:f>
              <c:strCache>
                <c:ptCount val="4"/>
                <c:pt idx="0">
                  <c:v>Train, Non-Thinking</c:v>
                </c:pt>
                <c:pt idx="1">
                  <c:v>Train, Thinking</c:v>
                </c:pt>
                <c:pt idx="2">
                  <c:v>Validate, Non-Thinking</c:v>
                </c:pt>
                <c:pt idx="3">
                  <c:v>Validate, Thinking</c:v>
                </c:pt>
              </c:strCache>
            </c:strRef>
          </c:cat>
          <c:val>
            <c:numRef>
              <c:f>'time model results'!$B$2:$B$5</c:f>
              <c:numCache>
                <c:formatCode>0.00</c:formatCode>
                <c:ptCount val="4"/>
                <c:pt idx="0">
                  <c:v>6.968</c:v>
                </c:pt>
                <c:pt idx="1">
                  <c:v>363.44099999999997</c:v>
                </c:pt>
                <c:pt idx="2">
                  <c:v>10.986333333333333</c:v>
                </c:pt>
                <c:pt idx="3">
                  <c:v>476.89699999999999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C-4A5D-8F1A-AAA5878F1024}"/>
            </c:ext>
          </c:extLst>
        </c:ser>
        <c:ser>
          <c:idx val="1"/>
          <c:order val="1"/>
          <c:tx>
            <c:strRef>
              <c:f>'time model results'!$C$1</c:f>
              <c:strCache>
                <c:ptCount val="1"/>
                <c:pt idx="0">
                  <c:v>Few-Shot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'time model results'!$A$2:$A$5</c:f>
              <c:strCache>
                <c:ptCount val="4"/>
                <c:pt idx="0">
                  <c:v>Train, Non-Thinking</c:v>
                </c:pt>
                <c:pt idx="1">
                  <c:v>Train, Thinking</c:v>
                </c:pt>
                <c:pt idx="2">
                  <c:v>Validate, Non-Thinking</c:v>
                </c:pt>
                <c:pt idx="3">
                  <c:v>Validate, Thinking</c:v>
                </c:pt>
              </c:strCache>
            </c:strRef>
          </c:cat>
          <c:val>
            <c:numRef>
              <c:f>'time model results'!$C$2:$C$5</c:f>
              <c:numCache>
                <c:formatCode>0.00</c:formatCode>
                <c:ptCount val="4"/>
                <c:pt idx="0">
                  <c:v>8.6336666666666666</c:v>
                </c:pt>
                <c:pt idx="1">
                  <c:v>344.46616666666671</c:v>
                </c:pt>
                <c:pt idx="2">
                  <c:v>11.230166666666666</c:v>
                </c:pt>
                <c:pt idx="3">
                  <c:v>468.88266666666664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7C-4A5D-8F1A-AAA5878F10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0557088"/>
        <c:axId val="740559968"/>
      </c:barChart>
      <c:catAx>
        <c:axId val="74055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559968"/>
        <c:crosses val="autoZero"/>
        <c:auto val="1"/>
        <c:lblAlgn val="ctr"/>
        <c:lblOffset val="100"/>
        <c:noMultiLvlLbl val="0"/>
      </c:catAx>
      <c:valAx>
        <c:axId val="74055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55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13</xdr:row>
      <xdr:rowOff>0</xdr:rowOff>
    </xdr:from>
    <xdr:to>
      <xdr:col>9</xdr:col>
      <xdr:colOff>594360</xdr:colOff>
      <xdr:row>27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5C7002-1D0E-486F-B8C4-0D92CF0DF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C737-F0CD-4F03-9436-F24F10D9AC51}">
  <dimension ref="A1:C5"/>
  <sheetViews>
    <sheetView tabSelected="1" zoomScale="130" zoomScaleNormal="130" workbookViewId="0">
      <selection activeCell="C3" sqref="C3"/>
    </sheetView>
  </sheetViews>
  <sheetFormatPr defaultRowHeight="14.4" x14ac:dyDescent="0.3"/>
  <cols>
    <col min="1" max="1" width="20.44140625" bestFit="1" customWidth="1"/>
    <col min="2" max="2" width="11.5546875" bestFit="1" customWidth="1"/>
    <col min="3" max="3" width="14.21875" bestFit="1" customWidth="1"/>
  </cols>
  <sheetData>
    <row r="1" spans="1:3" x14ac:dyDescent="0.3">
      <c r="B1" t="s">
        <v>8</v>
      </c>
      <c r="C1" t="s">
        <v>7</v>
      </c>
    </row>
    <row r="2" spans="1:3" x14ac:dyDescent="0.3">
      <c r="A2" t="s">
        <v>6</v>
      </c>
      <c r="B2" s="1">
        <f>418.08/60</f>
        <v>6.968</v>
      </c>
      <c r="C2" s="1">
        <f>518.02/60</f>
        <v>8.6336666666666666</v>
      </c>
    </row>
    <row r="3" spans="1:3" x14ac:dyDescent="0.3">
      <c r="A3" t="s">
        <v>5</v>
      </c>
      <c r="B3" s="1">
        <f xml:space="preserve"> 21806.46 /60</f>
        <v>363.44099999999997</v>
      </c>
      <c r="C3" s="1">
        <f>20667.97/60</f>
        <v>344.46616666666671</v>
      </c>
    </row>
    <row r="4" spans="1:3" x14ac:dyDescent="0.3">
      <c r="A4" t="s">
        <v>4</v>
      </c>
      <c r="B4" s="1">
        <f>659.18/60</f>
        <v>10.986333333333333</v>
      </c>
      <c r="C4" s="1">
        <f>673.81/60</f>
        <v>11.230166666666666</v>
      </c>
    </row>
    <row r="5" spans="1:3" x14ac:dyDescent="0.3">
      <c r="A5" t="s">
        <v>3</v>
      </c>
      <c r="B5" s="1">
        <f>28613.82/60</f>
        <v>476.89699999999999</v>
      </c>
      <c r="C5" s="1">
        <f>28132.96/60</f>
        <v>468.88266666666664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5477-2937-4AD2-8E06-D820957F2E71}">
  <dimension ref="A1:C42"/>
  <sheetViews>
    <sheetView workbookViewId="0">
      <selection activeCell="B42" sqref="B42"/>
    </sheetView>
  </sheetViews>
  <sheetFormatPr defaultRowHeight="14.4" x14ac:dyDescent="0.3"/>
  <cols>
    <col min="1" max="1" width="5" bestFit="1" customWidth="1"/>
    <col min="2" max="2" width="14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1200</v>
      </c>
      <c r="B2">
        <v>9.70886455103755</v>
      </c>
      <c r="C2">
        <v>82</v>
      </c>
    </row>
    <row r="3" spans="1:3" x14ac:dyDescent="0.3">
      <c r="A3">
        <v>844</v>
      </c>
      <c r="B3">
        <v>10.0712449578568</v>
      </c>
      <c r="C3">
        <v>72</v>
      </c>
    </row>
    <row r="4" spans="1:3" x14ac:dyDescent="0.3">
      <c r="A4">
        <v>545</v>
      </c>
      <c r="B4">
        <v>13.595236477442</v>
      </c>
      <c r="C4">
        <v>70</v>
      </c>
    </row>
    <row r="5" spans="1:3" x14ac:dyDescent="0.3">
      <c r="A5">
        <v>107</v>
      </c>
      <c r="B5">
        <v>17.931460695341201</v>
      </c>
      <c r="C5">
        <v>64</v>
      </c>
    </row>
    <row r="6" spans="1:3" x14ac:dyDescent="0.3">
      <c r="A6">
        <v>337</v>
      </c>
      <c r="B6">
        <v>10.9970511859282</v>
      </c>
      <c r="C6">
        <v>104</v>
      </c>
    </row>
    <row r="7" spans="1:3" x14ac:dyDescent="0.3">
      <c r="A7">
        <v>803</v>
      </c>
      <c r="B7">
        <v>12.1535189943388</v>
      </c>
      <c r="C7">
        <v>92</v>
      </c>
    </row>
    <row r="8" spans="1:3" x14ac:dyDescent="0.3">
      <c r="A8">
        <v>92</v>
      </c>
      <c r="B8">
        <v>15.202824279665901</v>
      </c>
      <c r="C8">
        <v>62</v>
      </c>
    </row>
    <row r="9" spans="1:3" x14ac:dyDescent="0.3">
      <c r="A9">
        <v>83</v>
      </c>
      <c r="B9">
        <v>8.6400685356929898</v>
      </c>
      <c r="C9">
        <v>80</v>
      </c>
    </row>
    <row r="10" spans="1:3" x14ac:dyDescent="0.3">
      <c r="A10">
        <v>1451</v>
      </c>
      <c r="B10">
        <v>14.3290775325149</v>
      </c>
      <c r="C10">
        <v>88</v>
      </c>
    </row>
    <row r="11" spans="1:3" x14ac:dyDescent="0.3">
      <c r="A11">
        <v>1020</v>
      </c>
      <c r="B11">
        <v>10.469021238386601</v>
      </c>
      <c r="C11">
        <v>86</v>
      </c>
    </row>
    <row r="12" spans="1:3" x14ac:dyDescent="0.3">
      <c r="A12">
        <v>12</v>
      </c>
      <c r="B12">
        <v>15.8262955453246</v>
      </c>
      <c r="C12">
        <v>64</v>
      </c>
    </row>
    <row r="13" spans="1:3" x14ac:dyDescent="0.3">
      <c r="A13">
        <v>5</v>
      </c>
      <c r="B13">
        <v>8.5834160204976797</v>
      </c>
      <c r="C13">
        <v>72</v>
      </c>
    </row>
    <row r="14" spans="1:3" x14ac:dyDescent="0.3">
      <c r="A14">
        <v>1408</v>
      </c>
      <c r="B14">
        <v>14.349866213276901</v>
      </c>
      <c r="C14">
        <v>60</v>
      </c>
    </row>
    <row r="15" spans="1:3" x14ac:dyDescent="0.3">
      <c r="A15">
        <v>1326</v>
      </c>
      <c r="B15">
        <v>9.4024278772994805</v>
      </c>
      <c r="C15">
        <v>76</v>
      </c>
    </row>
    <row r="16" spans="1:3" x14ac:dyDescent="0.3">
      <c r="A16">
        <v>243</v>
      </c>
      <c r="B16">
        <v>9.9570232154801399</v>
      </c>
      <c r="C16">
        <v>76</v>
      </c>
    </row>
    <row r="17" spans="1:3" x14ac:dyDescent="0.3">
      <c r="A17">
        <v>888</v>
      </c>
      <c r="B17">
        <v>10.056141038425199</v>
      </c>
      <c r="C17">
        <v>66</v>
      </c>
    </row>
    <row r="18" spans="1:3" x14ac:dyDescent="0.3">
      <c r="A18">
        <v>906</v>
      </c>
      <c r="B18">
        <v>22.5321772526949</v>
      </c>
      <c r="C18">
        <v>64</v>
      </c>
    </row>
    <row r="19" spans="1:3" x14ac:dyDescent="0.3">
      <c r="A19">
        <v>1075</v>
      </c>
      <c r="B19">
        <v>13.7508843680843</v>
      </c>
      <c r="C19">
        <v>70</v>
      </c>
    </row>
    <row r="20" spans="1:3" x14ac:dyDescent="0.3">
      <c r="A20">
        <v>1102</v>
      </c>
      <c r="B20">
        <v>16.585768102668201</v>
      </c>
      <c r="C20">
        <v>70</v>
      </c>
    </row>
    <row r="21" spans="1:3" x14ac:dyDescent="0.3">
      <c r="A21">
        <v>1846</v>
      </c>
      <c r="B21">
        <v>10.3055412387475</v>
      </c>
      <c r="C21">
        <v>98</v>
      </c>
    </row>
    <row r="22" spans="1:3" x14ac:dyDescent="0.3">
      <c r="A22">
        <v>1357</v>
      </c>
      <c r="B22">
        <v>11.726529789157199</v>
      </c>
      <c r="C22">
        <v>88</v>
      </c>
    </row>
    <row r="23" spans="1:3" x14ac:dyDescent="0.3">
      <c r="A23">
        <v>2049</v>
      </c>
      <c r="B23">
        <v>9.5416339095681906</v>
      </c>
      <c r="C23">
        <v>76</v>
      </c>
    </row>
    <row r="24" spans="1:3" x14ac:dyDescent="0.3">
      <c r="A24">
        <v>1581</v>
      </c>
      <c r="B24">
        <v>9.1919384449720294</v>
      </c>
      <c r="C24">
        <v>74</v>
      </c>
    </row>
    <row r="25" spans="1:3" x14ac:dyDescent="0.3">
      <c r="A25">
        <v>142</v>
      </c>
      <c r="B25">
        <v>9.8019958678632904</v>
      </c>
      <c r="C25">
        <v>82</v>
      </c>
    </row>
    <row r="26" spans="1:3" x14ac:dyDescent="0.3">
      <c r="A26">
        <v>1401</v>
      </c>
      <c r="B26">
        <v>15.825501363724401</v>
      </c>
      <c r="C26">
        <v>74</v>
      </c>
    </row>
    <row r="27" spans="1:3" x14ac:dyDescent="0.3">
      <c r="A27">
        <v>679</v>
      </c>
      <c r="B27">
        <v>10.5318054864183</v>
      </c>
      <c r="C27">
        <v>84</v>
      </c>
    </row>
    <row r="28" spans="1:3" x14ac:dyDescent="0.3">
      <c r="A28">
        <v>1385</v>
      </c>
      <c r="B28">
        <v>15.8497149962931</v>
      </c>
      <c r="C28">
        <v>70</v>
      </c>
    </row>
    <row r="29" spans="1:3" x14ac:dyDescent="0.3">
      <c r="A29">
        <v>765</v>
      </c>
      <c r="B29">
        <v>10.5642708959057</v>
      </c>
      <c r="C29">
        <v>82</v>
      </c>
    </row>
    <row r="30" spans="1:3" x14ac:dyDescent="0.3">
      <c r="A30">
        <v>743</v>
      </c>
      <c r="B30">
        <v>15.167618018575</v>
      </c>
      <c r="C30">
        <v>62</v>
      </c>
    </row>
    <row r="31" spans="1:3" x14ac:dyDescent="0.3">
      <c r="A31">
        <v>1068</v>
      </c>
      <c r="B31">
        <v>8.7754516666754991</v>
      </c>
      <c r="C31">
        <v>78</v>
      </c>
    </row>
    <row r="32" spans="1:3" x14ac:dyDescent="0.3">
      <c r="A32">
        <v>1752</v>
      </c>
      <c r="B32">
        <v>34.773164663463803</v>
      </c>
      <c r="C32">
        <v>64</v>
      </c>
    </row>
    <row r="33" spans="1:3" x14ac:dyDescent="0.3">
      <c r="A33">
        <v>1361</v>
      </c>
      <c r="B33">
        <v>9.4084806507453305</v>
      </c>
      <c r="C33">
        <v>86</v>
      </c>
    </row>
    <row r="34" spans="1:3" x14ac:dyDescent="0.3">
      <c r="A34">
        <v>1827</v>
      </c>
      <c r="B34">
        <v>15.911607899703</v>
      </c>
      <c r="C34">
        <v>64</v>
      </c>
    </row>
    <row r="35" spans="1:3" x14ac:dyDescent="0.3">
      <c r="A35">
        <v>1833</v>
      </c>
      <c r="B35">
        <v>15.590991907753001</v>
      </c>
      <c r="C35">
        <v>62</v>
      </c>
    </row>
    <row r="36" spans="1:3" x14ac:dyDescent="0.3">
      <c r="A36">
        <v>2013</v>
      </c>
      <c r="B36">
        <v>8.7151024807244504</v>
      </c>
      <c r="C36">
        <v>76</v>
      </c>
    </row>
    <row r="37" spans="1:3" x14ac:dyDescent="0.3">
      <c r="A37">
        <v>1768</v>
      </c>
      <c r="B37">
        <v>13.950315256603</v>
      </c>
      <c r="C37">
        <v>58</v>
      </c>
    </row>
    <row r="38" spans="1:3" x14ac:dyDescent="0.3">
      <c r="A38">
        <v>1549</v>
      </c>
      <c r="B38">
        <v>8.73261283431202</v>
      </c>
      <c r="C38">
        <v>80</v>
      </c>
    </row>
    <row r="39" spans="1:3" x14ac:dyDescent="0.3">
      <c r="A39">
        <v>636</v>
      </c>
      <c r="B39">
        <v>11.5939737297594</v>
      </c>
      <c r="C39">
        <v>82</v>
      </c>
    </row>
    <row r="40" spans="1:3" x14ac:dyDescent="0.3">
      <c r="A40">
        <v>641</v>
      </c>
      <c r="B40">
        <v>15.8738789046183</v>
      </c>
      <c r="C40">
        <v>76</v>
      </c>
    </row>
    <row r="41" spans="1:3" x14ac:dyDescent="0.3">
      <c r="A41">
        <v>1328</v>
      </c>
      <c r="B41">
        <v>12.0443499684333</v>
      </c>
      <c r="C41">
        <v>82</v>
      </c>
    </row>
    <row r="42" spans="1:3" x14ac:dyDescent="0.3">
      <c r="B42">
        <f>SUM(B2:B41)</f>
        <v>518.01884805597228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4BF4-81D3-4949-83C9-5EDBFF6D2DFC}">
  <dimension ref="A1:C42"/>
  <sheetViews>
    <sheetView workbookViewId="0">
      <selection activeCell="B2" sqref="B2:B4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1200</v>
      </c>
      <c r="B2">
        <v>488.65004793000099</v>
      </c>
      <c r="C2">
        <v>9453</v>
      </c>
    </row>
    <row r="3" spans="1:3" x14ac:dyDescent="0.3">
      <c r="A3">
        <v>844</v>
      </c>
      <c r="B3">
        <v>489.876522321035</v>
      </c>
      <c r="C3">
        <v>9574</v>
      </c>
    </row>
    <row r="4" spans="1:3" x14ac:dyDescent="0.3">
      <c r="A4">
        <v>545</v>
      </c>
      <c r="B4">
        <v>539.21875925500296</v>
      </c>
      <c r="C4">
        <v>10247</v>
      </c>
    </row>
    <row r="5" spans="1:3" x14ac:dyDescent="0.3">
      <c r="A5">
        <v>107</v>
      </c>
      <c r="B5">
        <v>513.87020798004198</v>
      </c>
      <c r="C5">
        <v>9414</v>
      </c>
    </row>
    <row r="6" spans="1:3" x14ac:dyDescent="0.3">
      <c r="A6">
        <v>337</v>
      </c>
      <c r="B6">
        <v>506.14168574499399</v>
      </c>
      <c r="C6">
        <v>9999</v>
      </c>
    </row>
    <row r="7" spans="1:3" x14ac:dyDescent="0.3">
      <c r="A7">
        <v>803</v>
      </c>
      <c r="B7">
        <v>451.00633265399603</v>
      </c>
      <c r="C7">
        <v>8768</v>
      </c>
    </row>
    <row r="8" spans="1:3" x14ac:dyDescent="0.3">
      <c r="A8">
        <v>92</v>
      </c>
      <c r="B8">
        <v>500.07422586904403</v>
      </c>
      <c r="C8">
        <v>9379</v>
      </c>
    </row>
    <row r="9" spans="1:3" x14ac:dyDescent="0.3">
      <c r="A9">
        <v>83</v>
      </c>
      <c r="B9">
        <v>534.15991112199799</v>
      </c>
      <c r="C9">
        <v>10686</v>
      </c>
    </row>
    <row r="10" spans="1:3" x14ac:dyDescent="0.3">
      <c r="A10">
        <v>1451</v>
      </c>
      <c r="B10">
        <v>564.74075312197897</v>
      </c>
      <c r="C10">
        <v>10873</v>
      </c>
    </row>
    <row r="11" spans="1:3" x14ac:dyDescent="0.3">
      <c r="A11">
        <v>1020</v>
      </c>
      <c r="B11">
        <v>529.03833936102399</v>
      </c>
      <c r="C11">
        <v>10511</v>
      </c>
    </row>
    <row r="12" spans="1:3" x14ac:dyDescent="0.3">
      <c r="A12">
        <v>12</v>
      </c>
      <c r="B12">
        <v>539.79310491903698</v>
      </c>
      <c r="C12">
        <v>10172</v>
      </c>
    </row>
    <row r="13" spans="1:3" x14ac:dyDescent="0.3">
      <c r="A13">
        <v>5</v>
      </c>
      <c r="B13">
        <v>458.59891403399502</v>
      </c>
      <c r="C13">
        <v>9160</v>
      </c>
    </row>
    <row r="14" spans="1:3" x14ac:dyDescent="0.3">
      <c r="A14">
        <v>1408</v>
      </c>
      <c r="B14">
        <v>582.43973137605599</v>
      </c>
      <c r="C14">
        <v>11041</v>
      </c>
    </row>
    <row r="15" spans="1:3" x14ac:dyDescent="0.3">
      <c r="A15">
        <v>1326</v>
      </c>
      <c r="B15">
        <v>560.77128207799899</v>
      </c>
      <c r="C15">
        <v>11186</v>
      </c>
    </row>
    <row r="16" spans="1:3" x14ac:dyDescent="0.3">
      <c r="A16">
        <v>243</v>
      </c>
      <c r="B16">
        <v>406.39478448798701</v>
      </c>
      <c r="C16">
        <v>8049</v>
      </c>
    </row>
    <row r="17" spans="1:3" x14ac:dyDescent="0.3">
      <c r="A17">
        <v>888</v>
      </c>
      <c r="B17">
        <v>607.17000211500203</v>
      </c>
      <c r="C17">
        <v>11977</v>
      </c>
    </row>
    <row r="18" spans="1:3" x14ac:dyDescent="0.3">
      <c r="A18">
        <v>906</v>
      </c>
      <c r="B18">
        <v>675.84413129999302</v>
      </c>
      <c r="C18">
        <v>12172</v>
      </c>
    </row>
    <row r="19" spans="1:3" x14ac:dyDescent="0.3">
      <c r="A19">
        <v>1075</v>
      </c>
      <c r="B19">
        <v>374.64683299801197</v>
      </c>
      <c r="C19">
        <v>7156</v>
      </c>
    </row>
    <row r="20" spans="1:3" x14ac:dyDescent="0.3">
      <c r="A20">
        <v>1102</v>
      </c>
      <c r="B20">
        <v>467.96315679700598</v>
      </c>
      <c r="C20">
        <v>8775</v>
      </c>
    </row>
    <row r="21" spans="1:3" x14ac:dyDescent="0.3">
      <c r="A21">
        <v>1846</v>
      </c>
      <c r="B21">
        <v>427.82285738899299</v>
      </c>
      <c r="C21">
        <v>8564</v>
      </c>
    </row>
    <row r="22" spans="1:3" x14ac:dyDescent="0.3">
      <c r="A22">
        <v>1357</v>
      </c>
      <c r="B22">
        <v>553.65401062703995</v>
      </c>
      <c r="C22">
        <v>10903</v>
      </c>
    </row>
    <row r="23" spans="1:3" x14ac:dyDescent="0.3">
      <c r="A23">
        <v>2049</v>
      </c>
      <c r="B23">
        <v>524.73214679097805</v>
      </c>
      <c r="C23">
        <v>10436</v>
      </c>
    </row>
    <row r="24" spans="1:3" x14ac:dyDescent="0.3">
      <c r="A24">
        <v>1581</v>
      </c>
      <c r="B24">
        <v>436.37087209999999</v>
      </c>
      <c r="C24">
        <v>8669</v>
      </c>
    </row>
    <row r="25" spans="1:3" x14ac:dyDescent="0.3">
      <c r="A25">
        <v>142</v>
      </c>
      <c r="B25">
        <v>481.49626577697899</v>
      </c>
      <c r="C25">
        <v>9558</v>
      </c>
    </row>
    <row r="26" spans="1:3" x14ac:dyDescent="0.3">
      <c r="A26">
        <v>1401</v>
      </c>
      <c r="B26">
        <v>565.02167995997297</v>
      </c>
      <c r="C26">
        <v>10714</v>
      </c>
    </row>
    <row r="27" spans="1:3" x14ac:dyDescent="0.3">
      <c r="A27">
        <v>679</v>
      </c>
      <c r="B27">
        <v>569.36126456300497</v>
      </c>
      <c r="C27">
        <v>11268</v>
      </c>
    </row>
    <row r="28" spans="1:3" x14ac:dyDescent="0.3">
      <c r="A28">
        <v>1385</v>
      </c>
      <c r="B28">
        <v>572.54475909701398</v>
      </c>
      <c r="C28">
        <v>10828</v>
      </c>
    </row>
    <row r="29" spans="1:3" x14ac:dyDescent="0.3">
      <c r="A29">
        <v>765</v>
      </c>
      <c r="B29">
        <v>510.54395786294401</v>
      </c>
      <c r="C29">
        <v>10078</v>
      </c>
    </row>
    <row r="30" spans="1:3" x14ac:dyDescent="0.3">
      <c r="A30">
        <v>743</v>
      </c>
      <c r="B30">
        <v>542.366655267032</v>
      </c>
      <c r="C30">
        <v>10233</v>
      </c>
    </row>
    <row r="31" spans="1:3" x14ac:dyDescent="0.3">
      <c r="A31">
        <v>1068</v>
      </c>
      <c r="B31">
        <v>496.65070870898398</v>
      </c>
      <c r="C31">
        <v>9969</v>
      </c>
    </row>
    <row r="32" spans="1:3" x14ac:dyDescent="0.3">
      <c r="A32">
        <v>1752</v>
      </c>
      <c r="B32">
        <v>585.16954205000297</v>
      </c>
      <c r="C32">
        <v>9662</v>
      </c>
    </row>
    <row r="33" spans="1:3" x14ac:dyDescent="0.3">
      <c r="A33">
        <v>1361</v>
      </c>
      <c r="B33">
        <v>357.79153088195</v>
      </c>
      <c r="C33">
        <v>7136</v>
      </c>
    </row>
    <row r="34" spans="1:3" x14ac:dyDescent="0.3">
      <c r="A34">
        <v>1827</v>
      </c>
      <c r="B34">
        <v>654.03946920801502</v>
      </c>
      <c r="C34">
        <v>12350</v>
      </c>
    </row>
    <row r="35" spans="1:3" x14ac:dyDescent="0.3">
      <c r="A35">
        <v>1833</v>
      </c>
      <c r="B35">
        <v>480.76581885799499</v>
      </c>
      <c r="C35">
        <v>9029</v>
      </c>
    </row>
    <row r="36" spans="1:3" x14ac:dyDescent="0.3">
      <c r="A36">
        <v>2013</v>
      </c>
      <c r="B36">
        <v>396.74561932396301</v>
      </c>
      <c r="C36">
        <v>7917</v>
      </c>
    </row>
    <row r="37" spans="1:3" x14ac:dyDescent="0.3">
      <c r="A37">
        <v>1768</v>
      </c>
      <c r="B37">
        <v>543.77452014097003</v>
      </c>
      <c r="C37">
        <v>10341</v>
      </c>
    </row>
    <row r="38" spans="1:3" x14ac:dyDescent="0.3">
      <c r="A38">
        <v>1549</v>
      </c>
      <c r="B38">
        <v>541.48162450203301</v>
      </c>
      <c r="C38">
        <v>10848</v>
      </c>
    </row>
    <row r="39" spans="1:3" x14ac:dyDescent="0.3">
      <c r="A39">
        <v>636</v>
      </c>
      <c r="B39">
        <v>542.243779908938</v>
      </c>
      <c r="C39">
        <v>10651</v>
      </c>
    </row>
    <row r="40" spans="1:3" x14ac:dyDescent="0.3">
      <c r="A40">
        <v>641</v>
      </c>
      <c r="B40">
        <v>556.46590629899504</v>
      </c>
      <c r="C40">
        <v>10539</v>
      </c>
    </row>
    <row r="41" spans="1:3" x14ac:dyDescent="0.3">
      <c r="A41">
        <v>1328</v>
      </c>
      <c r="B41">
        <v>538.52581740402002</v>
      </c>
      <c r="C41">
        <v>10544</v>
      </c>
    </row>
    <row r="42" spans="1:3" x14ac:dyDescent="0.3">
      <c r="B42">
        <f>SUM(B2:B41)</f>
        <v>20667.96753218404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DA85-584F-4B4A-8BFA-19CD2944AE36}">
  <dimension ref="A1:C42"/>
  <sheetViews>
    <sheetView workbookViewId="0">
      <selection activeCell="B2" sqref="B2:B4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1200</v>
      </c>
      <c r="B2">
        <v>7.6135317990265303</v>
      </c>
      <c r="C2">
        <v>80</v>
      </c>
    </row>
    <row r="3" spans="1:3" x14ac:dyDescent="0.3">
      <c r="A3">
        <v>844</v>
      </c>
      <c r="B3">
        <v>7.9646103490085798</v>
      </c>
      <c r="C3">
        <v>72</v>
      </c>
    </row>
    <row r="4" spans="1:3" x14ac:dyDescent="0.3">
      <c r="A4">
        <v>545</v>
      </c>
      <c r="B4">
        <v>11.0854111840308</v>
      </c>
      <c r="C4">
        <v>64</v>
      </c>
    </row>
    <row r="5" spans="1:3" x14ac:dyDescent="0.3">
      <c r="A5">
        <v>107</v>
      </c>
      <c r="B5">
        <v>15.8948304739897</v>
      </c>
      <c r="C5">
        <v>66</v>
      </c>
    </row>
    <row r="6" spans="1:3" x14ac:dyDescent="0.3">
      <c r="A6">
        <v>337</v>
      </c>
      <c r="B6">
        <v>7.4951142359641301</v>
      </c>
      <c r="C6">
        <v>86</v>
      </c>
    </row>
    <row r="7" spans="1:3" x14ac:dyDescent="0.3">
      <c r="A7">
        <v>803</v>
      </c>
      <c r="B7">
        <v>8.0552972649456898</v>
      </c>
      <c r="C7">
        <v>60</v>
      </c>
    </row>
    <row r="8" spans="1:3" x14ac:dyDescent="0.3">
      <c r="A8">
        <v>92</v>
      </c>
      <c r="B8">
        <v>13.3653391081024</v>
      </c>
      <c r="C8">
        <v>68</v>
      </c>
    </row>
    <row r="9" spans="1:3" x14ac:dyDescent="0.3">
      <c r="A9">
        <v>83</v>
      </c>
      <c r="B9">
        <v>6.2338967849500397</v>
      </c>
      <c r="C9">
        <v>74</v>
      </c>
    </row>
    <row r="10" spans="1:3" x14ac:dyDescent="0.3">
      <c r="A10">
        <v>1451</v>
      </c>
      <c r="B10">
        <v>11.14555022493</v>
      </c>
      <c r="C10">
        <v>74</v>
      </c>
    </row>
    <row r="11" spans="1:3" x14ac:dyDescent="0.3">
      <c r="A11">
        <v>1020</v>
      </c>
      <c r="B11">
        <v>7.6974992649920697</v>
      </c>
      <c r="C11">
        <v>76</v>
      </c>
    </row>
    <row r="12" spans="1:3" x14ac:dyDescent="0.3">
      <c r="A12">
        <v>12</v>
      </c>
      <c r="B12">
        <v>13.674069772911</v>
      </c>
      <c r="C12">
        <v>64</v>
      </c>
    </row>
    <row r="13" spans="1:3" x14ac:dyDescent="0.3">
      <c r="A13">
        <v>5</v>
      </c>
      <c r="B13">
        <v>7.8964954339607996</v>
      </c>
      <c r="C13">
        <v>98</v>
      </c>
    </row>
    <row r="14" spans="1:3" x14ac:dyDescent="0.3">
      <c r="A14">
        <v>1408</v>
      </c>
      <c r="B14">
        <v>12.3453822199371</v>
      </c>
      <c r="C14">
        <v>60</v>
      </c>
    </row>
    <row r="15" spans="1:3" x14ac:dyDescent="0.3">
      <c r="A15">
        <v>1326</v>
      </c>
      <c r="B15">
        <v>7.0065533419256099</v>
      </c>
      <c r="C15">
        <v>70</v>
      </c>
    </row>
    <row r="16" spans="1:3" x14ac:dyDescent="0.3">
      <c r="A16">
        <v>243</v>
      </c>
      <c r="B16">
        <v>7.8239317779080002</v>
      </c>
      <c r="C16">
        <v>76</v>
      </c>
    </row>
    <row r="17" spans="1:3" x14ac:dyDescent="0.3">
      <c r="A17">
        <v>888</v>
      </c>
      <c r="B17">
        <v>8.1875442770542506</v>
      </c>
      <c r="C17">
        <v>68</v>
      </c>
    </row>
    <row r="18" spans="1:3" x14ac:dyDescent="0.3">
      <c r="A18">
        <v>906</v>
      </c>
      <c r="B18">
        <v>20.417226338933599</v>
      </c>
      <c r="C18">
        <v>64</v>
      </c>
    </row>
    <row r="19" spans="1:3" x14ac:dyDescent="0.3">
      <c r="A19">
        <v>1075</v>
      </c>
      <c r="B19">
        <v>11.262950943026199</v>
      </c>
      <c r="C19">
        <v>64</v>
      </c>
    </row>
    <row r="20" spans="1:3" x14ac:dyDescent="0.3">
      <c r="A20">
        <v>1102</v>
      </c>
      <c r="B20">
        <v>13.8803167769801</v>
      </c>
      <c r="C20">
        <v>60</v>
      </c>
    </row>
    <row r="21" spans="1:3" x14ac:dyDescent="0.3">
      <c r="A21">
        <v>1846</v>
      </c>
      <c r="B21">
        <v>7.26984784100204</v>
      </c>
      <c r="C21">
        <v>88</v>
      </c>
    </row>
    <row r="22" spans="1:3" x14ac:dyDescent="0.3">
      <c r="A22">
        <v>1357</v>
      </c>
      <c r="B22">
        <v>8.7720120210433308</v>
      </c>
      <c r="C22">
        <v>76</v>
      </c>
    </row>
    <row r="23" spans="1:3" x14ac:dyDescent="0.3">
      <c r="A23">
        <v>2049</v>
      </c>
      <c r="B23">
        <v>6.4184334679739496</v>
      </c>
      <c r="C23">
        <v>56</v>
      </c>
    </row>
    <row r="24" spans="1:3" x14ac:dyDescent="0.3">
      <c r="A24">
        <v>1581</v>
      </c>
      <c r="B24">
        <v>7.7316154920554201</v>
      </c>
      <c r="C24">
        <v>86</v>
      </c>
    </row>
    <row r="25" spans="1:3" x14ac:dyDescent="0.3">
      <c r="A25">
        <v>142</v>
      </c>
      <c r="B25">
        <v>7.73533458198653</v>
      </c>
      <c r="C25">
        <v>84</v>
      </c>
    </row>
    <row r="26" spans="1:3" x14ac:dyDescent="0.3">
      <c r="A26">
        <v>1401</v>
      </c>
      <c r="B26">
        <v>12.6095486810081</v>
      </c>
      <c r="C26">
        <v>56</v>
      </c>
    </row>
    <row r="27" spans="1:3" x14ac:dyDescent="0.3">
      <c r="A27">
        <v>679</v>
      </c>
      <c r="B27">
        <v>7.6041320479416701</v>
      </c>
      <c r="C27">
        <v>72</v>
      </c>
    </row>
    <row r="28" spans="1:3" x14ac:dyDescent="0.3">
      <c r="A28">
        <v>1385</v>
      </c>
      <c r="B28">
        <v>13.066113733977501</v>
      </c>
      <c r="C28">
        <v>60</v>
      </c>
    </row>
    <row r="29" spans="1:3" x14ac:dyDescent="0.3">
      <c r="A29">
        <v>765</v>
      </c>
      <c r="B29">
        <v>7.6140611389710102</v>
      </c>
      <c r="C29">
        <v>70</v>
      </c>
    </row>
    <row r="30" spans="1:3" x14ac:dyDescent="0.3">
      <c r="A30">
        <v>743</v>
      </c>
      <c r="B30">
        <v>13.051433599000999</v>
      </c>
      <c r="C30">
        <v>62</v>
      </c>
    </row>
    <row r="31" spans="1:3" x14ac:dyDescent="0.3">
      <c r="A31">
        <v>1068</v>
      </c>
      <c r="B31">
        <v>6.5671362089924497</v>
      </c>
      <c r="C31">
        <v>76</v>
      </c>
    </row>
    <row r="32" spans="1:3" x14ac:dyDescent="0.3">
      <c r="A32">
        <v>1752</v>
      </c>
      <c r="B32">
        <v>32.542753687041099</v>
      </c>
      <c r="C32">
        <v>64</v>
      </c>
    </row>
    <row r="33" spans="1:3" x14ac:dyDescent="0.3">
      <c r="A33">
        <v>1361</v>
      </c>
      <c r="B33">
        <v>5.8488161280983997</v>
      </c>
      <c r="C33">
        <v>60</v>
      </c>
    </row>
    <row r="34" spans="1:3" x14ac:dyDescent="0.3">
      <c r="A34">
        <v>1827</v>
      </c>
      <c r="B34">
        <v>13.731863931025099</v>
      </c>
      <c r="C34">
        <v>64</v>
      </c>
    </row>
    <row r="35" spans="1:3" x14ac:dyDescent="0.3">
      <c r="A35">
        <v>1833</v>
      </c>
      <c r="B35">
        <v>13.420649345993199</v>
      </c>
      <c r="C35">
        <v>62</v>
      </c>
    </row>
    <row r="36" spans="1:3" x14ac:dyDescent="0.3">
      <c r="A36">
        <v>2013</v>
      </c>
      <c r="B36">
        <v>5.9312676070258004</v>
      </c>
      <c r="C36">
        <v>62</v>
      </c>
    </row>
    <row r="37" spans="1:3" x14ac:dyDescent="0.3">
      <c r="A37">
        <v>1768</v>
      </c>
      <c r="B37">
        <v>11.8912976490391</v>
      </c>
      <c r="C37">
        <v>56</v>
      </c>
    </row>
    <row r="38" spans="1:3" x14ac:dyDescent="0.3">
      <c r="A38">
        <v>1549</v>
      </c>
      <c r="B38">
        <v>6.9306533770577499</v>
      </c>
      <c r="C38">
        <v>86</v>
      </c>
    </row>
    <row r="39" spans="1:3" x14ac:dyDescent="0.3">
      <c r="A39">
        <v>636</v>
      </c>
      <c r="B39">
        <v>8.2757926489575695</v>
      </c>
      <c r="C39">
        <v>62</v>
      </c>
    </row>
    <row r="40" spans="1:3" x14ac:dyDescent="0.3">
      <c r="A40">
        <v>641</v>
      </c>
      <c r="B40">
        <v>13.1947613480733</v>
      </c>
      <c r="C40">
        <v>68</v>
      </c>
    </row>
    <row r="41" spans="1:3" x14ac:dyDescent="0.3">
      <c r="A41">
        <v>1328</v>
      </c>
      <c r="B41">
        <v>8.8227196289808401</v>
      </c>
      <c r="C41">
        <v>64</v>
      </c>
    </row>
    <row r="42" spans="1:3" x14ac:dyDescent="0.3">
      <c r="B42">
        <f>SUM(B2:B41)</f>
        <v>418.07579573782175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983D-5AF6-49E7-B0B3-06B1A8D29A4D}">
  <dimension ref="A1:C42"/>
  <sheetViews>
    <sheetView workbookViewId="0">
      <selection activeCell="B2" sqref="B2:B4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1200</v>
      </c>
      <c r="B2">
        <v>516.75193761568505</v>
      </c>
      <c r="C2">
        <v>10076</v>
      </c>
    </row>
    <row r="3" spans="1:3" x14ac:dyDescent="0.3">
      <c r="A3">
        <v>844</v>
      </c>
      <c r="B3">
        <v>604.648790528066</v>
      </c>
      <c r="C3">
        <v>11761</v>
      </c>
    </row>
    <row r="4" spans="1:3" x14ac:dyDescent="0.3">
      <c r="A4">
        <v>545</v>
      </c>
      <c r="B4">
        <v>458.03064024727701</v>
      </c>
      <c r="C4">
        <v>8666</v>
      </c>
    </row>
    <row r="5" spans="1:3" x14ac:dyDescent="0.3">
      <c r="A5">
        <v>107</v>
      </c>
      <c r="B5">
        <v>629.04629328660599</v>
      </c>
      <c r="C5">
        <v>11525</v>
      </c>
    </row>
    <row r="6" spans="1:3" x14ac:dyDescent="0.3">
      <c r="A6">
        <v>337</v>
      </c>
      <c r="B6">
        <v>508.614243792369</v>
      </c>
      <c r="C6">
        <v>9976</v>
      </c>
    </row>
    <row r="7" spans="1:3" x14ac:dyDescent="0.3">
      <c r="A7">
        <v>803</v>
      </c>
      <c r="B7">
        <v>503.38538829889097</v>
      </c>
      <c r="C7">
        <v>9754</v>
      </c>
    </row>
    <row r="8" spans="1:3" x14ac:dyDescent="0.3">
      <c r="A8">
        <v>92</v>
      </c>
      <c r="B8">
        <v>538.11553490255005</v>
      </c>
      <c r="C8">
        <v>10048</v>
      </c>
    </row>
    <row r="9" spans="1:3" x14ac:dyDescent="0.3">
      <c r="A9">
        <v>83</v>
      </c>
      <c r="B9">
        <v>568.31187296099904</v>
      </c>
      <c r="C9">
        <v>11208</v>
      </c>
    </row>
    <row r="10" spans="1:3" x14ac:dyDescent="0.3">
      <c r="A10">
        <v>1451</v>
      </c>
      <c r="B10">
        <v>522.46018726751197</v>
      </c>
      <c r="C10">
        <v>9951</v>
      </c>
    </row>
    <row r="11" spans="1:3" x14ac:dyDescent="0.3">
      <c r="A11">
        <v>1020</v>
      </c>
      <c r="B11">
        <v>553.25991687457997</v>
      </c>
      <c r="C11">
        <v>10836</v>
      </c>
    </row>
    <row r="12" spans="1:3" x14ac:dyDescent="0.3">
      <c r="A12">
        <v>12</v>
      </c>
      <c r="B12">
        <v>559.38870843220502</v>
      </c>
      <c r="C12">
        <v>10394</v>
      </c>
    </row>
    <row r="13" spans="1:3" x14ac:dyDescent="0.3">
      <c r="A13">
        <v>5</v>
      </c>
      <c r="B13">
        <v>563.77785679884198</v>
      </c>
      <c r="C13">
        <v>11070</v>
      </c>
    </row>
    <row r="14" spans="1:3" x14ac:dyDescent="0.3">
      <c r="A14">
        <v>1408</v>
      </c>
      <c r="B14">
        <v>521.86269491352095</v>
      </c>
      <c r="C14">
        <v>9775</v>
      </c>
    </row>
    <row r="15" spans="1:3" x14ac:dyDescent="0.3">
      <c r="A15">
        <v>1326</v>
      </c>
      <c r="B15">
        <v>568.77772197034199</v>
      </c>
      <c r="C15">
        <v>11148</v>
      </c>
    </row>
    <row r="16" spans="1:3" x14ac:dyDescent="0.3">
      <c r="A16">
        <v>243</v>
      </c>
      <c r="B16">
        <v>480.65260227210803</v>
      </c>
      <c r="C16">
        <v>9386</v>
      </c>
    </row>
    <row r="17" spans="1:3" x14ac:dyDescent="0.3">
      <c r="A17">
        <v>888</v>
      </c>
      <c r="B17">
        <v>718.308675446547</v>
      </c>
      <c r="C17">
        <v>13978</v>
      </c>
    </row>
    <row r="18" spans="1:3" x14ac:dyDescent="0.3">
      <c r="A18">
        <v>906</v>
      </c>
      <c r="B18">
        <v>708.69000865612099</v>
      </c>
      <c r="C18">
        <v>12673</v>
      </c>
    </row>
    <row r="19" spans="1:3" x14ac:dyDescent="0.3">
      <c r="A19">
        <v>1075</v>
      </c>
      <c r="B19">
        <v>398.85729416552903</v>
      </c>
      <c r="C19">
        <v>7536</v>
      </c>
    </row>
    <row r="20" spans="1:3" x14ac:dyDescent="0.3">
      <c r="A20">
        <v>1102</v>
      </c>
      <c r="B20">
        <v>487.26461237762101</v>
      </c>
      <c r="C20">
        <v>9028</v>
      </c>
    </row>
    <row r="21" spans="1:3" x14ac:dyDescent="0.3">
      <c r="A21">
        <v>1846</v>
      </c>
      <c r="B21">
        <v>553.29132839757904</v>
      </c>
      <c r="C21">
        <v>10879</v>
      </c>
    </row>
    <row r="22" spans="1:3" x14ac:dyDescent="0.3">
      <c r="A22">
        <v>1357</v>
      </c>
      <c r="B22">
        <v>576.632004651241</v>
      </c>
      <c r="C22">
        <v>11216</v>
      </c>
    </row>
    <row r="23" spans="1:3" x14ac:dyDescent="0.3">
      <c r="A23">
        <v>2049</v>
      </c>
      <c r="B23">
        <v>529.30136942211504</v>
      </c>
      <c r="C23">
        <v>10350</v>
      </c>
    </row>
    <row r="24" spans="1:3" x14ac:dyDescent="0.3">
      <c r="A24">
        <v>1581</v>
      </c>
      <c r="B24">
        <v>513.56889557558998</v>
      </c>
      <c r="C24">
        <v>10045</v>
      </c>
    </row>
    <row r="25" spans="1:3" x14ac:dyDescent="0.3">
      <c r="A25">
        <v>142</v>
      </c>
      <c r="B25">
        <v>488.69221036229197</v>
      </c>
      <c r="C25">
        <v>9544</v>
      </c>
    </row>
    <row r="26" spans="1:3" x14ac:dyDescent="0.3">
      <c r="A26">
        <v>1401</v>
      </c>
      <c r="B26">
        <v>591.11325023416396</v>
      </c>
      <c r="C26">
        <v>11043</v>
      </c>
    </row>
    <row r="27" spans="1:3" x14ac:dyDescent="0.3">
      <c r="A27">
        <v>679</v>
      </c>
      <c r="B27">
        <v>604.23395909275803</v>
      </c>
      <c r="C27">
        <v>11820</v>
      </c>
    </row>
    <row r="28" spans="1:3" x14ac:dyDescent="0.3">
      <c r="A28">
        <v>1385</v>
      </c>
      <c r="B28">
        <v>674.96765937842395</v>
      </c>
      <c r="C28">
        <v>12591</v>
      </c>
    </row>
    <row r="29" spans="1:3" x14ac:dyDescent="0.3">
      <c r="A29">
        <v>765</v>
      </c>
      <c r="B29">
        <v>511.02577242720798</v>
      </c>
      <c r="C29">
        <v>9954</v>
      </c>
    </row>
    <row r="30" spans="1:3" x14ac:dyDescent="0.3">
      <c r="A30">
        <v>743</v>
      </c>
      <c r="B30">
        <v>568.23946012184001</v>
      </c>
      <c r="C30">
        <v>10608</v>
      </c>
    </row>
    <row r="31" spans="1:3" x14ac:dyDescent="0.3">
      <c r="A31">
        <v>1068</v>
      </c>
      <c r="B31">
        <v>504.67552824318398</v>
      </c>
      <c r="C31">
        <v>9928</v>
      </c>
    </row>
    <row r="32" spans="1:3" x14ac:dyDescent="0.3">
      <c r="A32">
        <v>1752</v>
      </c>
      <c r="B32">
        <v>548.26945187896399</v>
      </c>
      <c r="C32">
        <v>8905</v>
      </c>
    </row>
    <row r="33" spans="1:3" x14ac:dyDescent="0.3">
      <c r="A33">
        <v>1361</v>
      </c>
      <c r="B33">
        <v>340.593431330285</v>
      </c>
      <c r="C33">
        <v>6681</v>
      </c>
    </row>
    <row r="34" spans="1:3" x14ac:dyDescent="0.3">
      <c r="A34">
        <v>1827</v>
      </c>
      <c r="B34">
        <v>712.33422440197296</v>
      </c>
      <c r="C34">
        <v>13288</v>
      </c>
    </row>
    <row r="35" spans="1:3" x14ac:dyDescent="0.3">
      <c r="A35">
        <v>1833</v>
      </c>
      <c r="B35">
        <v>449.01366748660803</v>
      </c>
      <c r="C35">
        <v>8326</v>
      </c>
    </row>
    <row r="36" spans="1:3" x14ac:dyDescent="0.3">
      <c r="A36">
        <v>2013</v>
      </c>
      <c r="B36">
        <v>503.230012304149</v>
      </c>
      <c r="C36">
        <v>9864</v>
      </c>
    </row>
    <row r="37" spans="1:3" x14ac:dyDescent="0.3">
      <c r="A37">
        <v>1768</v>
      </c>
      <c r="B37">
        <v>524.53897040616698</v>
      </c>
      <c r="C37">
        <v>9846</v>
      </c>
    </row>
    <row r="38" spans="1:3" x14ac:dyDescent="0.3">
      <c r="A38">
        <v>1549</v>
      </c>
      <c r="B38">
        <v>558.44768347497995</v>
      </c>
      <c r="C38">
        <v>11009</v>
      </c>
    </row>
    <row r="39" spans="1:3" x14ac:dyDescent="0.3">
      <c r="A39">
        <v>636</v>
      </c>
      <c r="B39">
        <v>525.93204373959395</v>
      </c>
      <c r="C39">
        <v>10201</v>
      </c>
    </row>
    <row r="40" spans="1:3" x14ac:dyDescent="0.3">
      <c r="A40">
        <v>641</v>
      </c>
      <c r="B40">
        <v>550.12873030733294</v>
      </c>
      <c r="C40">
        <v>10296</v>
      </c>
    </row>
    <row r="41" spans="1:3" x14ac:dyDescent="0.3">
      <c r="A41">
        <v>1328</v>
      </c>
      <c r="B41">
        <v>568.02473583165499</v>
      </c>
      <c r="C41">
        <v>10962</v>
      </c>
    </row>
    <row r="42" spans="1:3" x14ac:dyDescent="0.3">
      <c r="B42">
        <f>SUM(B2:B41)</f>
        <v>21806.459369875483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F97C-D469-4323-84D1-5AE6DDE2CCC9}">
  <dimension ref="A1:C42"/>
  <sheetViews>
    <sheetView workbookViewId="0">
      <selection activeCell="B2" sqref="B2:B4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157</v>
      </c>
      <c r="B2">
        <v>13.517667327076101</v>
      </c>
      <c r="C2">
        <v>66</v>
      </c>
    </row>
    <row r="3" spans="1:3" x14ac:dyDescent="0.3">
      <c r="A3">
        <v>279</v>
      </c>
      <c r="B3">
        <v>19.768825540319</v>
      </c>
      <c r="C3">
        <v>70</v>
      </c>
    </row>
    <row r="4" spans="1:3" x14ac:dyDescent="0.3">
      <c r="A4">
        <v>328</v>
      </c>
      <c r="B4">
        <v>6.5043278848752299</v>
      </c>
      <c r="C4">
        <v>62</v>
      </c>
    </row>
    <row r="5" spans="1:3" x14ac:dyDescent="0.3">
      <c r="A5">
        <v>329</v>
      </c>
      <c r="B5">
        <v>23.367715569213001</v>
      </c>
      <c r="C5">
        <v>70</v>
      </c>
    </row>
    <row r="6" spans="1:3" x14ac:dyDescent="0.3">
      <c r="A6">
        <v>444</v>
      </c>
      <c r="B6">
        <v>8.8636115435510803</v>
      </c>
      <c r="C6">
        <v>78</v>
      </c>
    </row>
    <row r="7" spans="1:3" x14ac:dyDescent="0.3">
      <c r="A7">
        <v>493</v>
      </c>
      <c r="B7">
        <v>6.5622592903673604</v>
      </c>
      <c r="C7">
        <v>66</v>
      </c>
    </row>
    <row r="8" spans="1:3" x14ac:dyDescent="0.3">
      <c r="A8">
        <v>527</v>
      </c>
      <c r="B8">
        <v>9.7719641076400805</v>
      </c>
      <c r="C8">
        <v>98</v>
      </c>
    </row>
    <row r="9" spans="1:3" x14ac:dyDescent="0.3">
      <c r="A9">
        <v>576</v>
      </c>
      <c r="B9">
        <v>13.6636170605197</v>
      </c>
      <c r="C9">
        <v>68</v>
      </c>
    </row>
    <row r="10" spans="1:3" x14ac:dyDescent="0.3">
      <c r="A10">
        <v>588</v>
      </c>
      <c r="B10">
        <v>22.839899254031401</v>
      </c>
      <c r="C10">
        <v>62</v>
      </c>
    </row>
    <row r="11" spans="1:3" x14ac:dyDescent="0.3">
      <c r="A11">
        <v>623</v>
      </c>
      <c r="B11">
        <v>7.77371614333242</v>
      </c>
      <c r="C11">
        <v>74</v>
      </c>
    </row>
    <row r="12" spans="1:3" x14ac:dyDescent="0.3">
      <c r="A12">
        <v>632</v>
      </c>
      <c r="B12">
        <v>23.513273124583002</v>
      </c>
      <c r="C12">
        <v>70</v>
      </c>
    </row>
    <row r="13" spans="1:3" x14ac:dyDescent="0.3">
      <c r="A13">
        <v>638</v>
      </c>
      <c r="B13">
        <v>8.2842607852071506</v>
      </c>
      <c r="C13">
        <v>88</v>
      </c>
    </row>
    <row r="14" spans="1:3" x14ac:dyDescent="0.3">
      <c r="A14">
        <v>645</v>
      </c>
      <c r="B14">
        <v>18.270230645313799</v>
      </c>
      <c r="C14">
        <v>64</v>
      </c>
    </row>
    <row r="15" spans="1:3" x14ac:dyDescent="0.3">
      <c r="A15">
        <v>647</v>
      </c>
      <c r="B15">
        <v>12.6890104822814</v>
      </c>
      <c r="C15">
        <v>80</v>
      </c>
    </row>
    <row r="16" spans="1:3" x14ac:dyDescent="0.3">
      <c r="A16">
        <v>735</v>
      </c>
      <c r="B16">
        <v>17.4191454863175</v>
      </c>
      <c r="C16">
        <v>64</v>
      </c>
    </row>
    <row r="17" spans="1:3" x14ac:dyDescent="0.3">
      <c r="A17">
        <v>752</v>
      </c>
      <c r="B17">
        <v>13.6925304913893</v>
      </c>
      <c r="C17">
        <v>62</v>
      </c>
    </row>
    <row r="18" spans="1:3" x14ac:dyDescent="0.3">
      <c r="A18">
        <v>758</v>
      </c>
      <c r="B18">
        <v>8.5411714427173102</v>
      </c>
      <c r="C18">
        <v>76</v>
      </c>
    </row>
    <row r="19" spans="1:3" x14ac:dyDescent="0.3">
      <c r="A19">
        <v>786</v>
      </c>
      <c r="B19">
        <v>39.947171052917803</v>
      </c>
      <c r="C19">
        <v>64</v>
      </c>
    </row>
    <row r="20" spans="1:3" x14ac:dyDescent="0.3">
      <c r="A20">
        <v>798</v>
      </c>
      <c r="B20">
        <v>12.881651931442301</v>
      </c>
      <c r="C20">
        <v>82</v>
      </c>
    </row>
    <row r="21" spans="1:3" x14ac:dyDescent="0.3">
      <c r="A21">
        <v>808</v>
      </c>
      <c r="B21">
        <v>9.9628484155982697</v>
      </c>
      <c r="C21">
        <v>88</v>
      </c>
    </row>
    <row r="22" spans="1:3" x14ac:dyDescent="0.3">
      <c r="A22">
        <v>956</v>
      </c>
      <c r="B22">
        <v>17.7236934611573</v>
      </c>
      <c r="C22">
        <v>58</v>
      </c>
    </row>
    <row r="23" spans="1:3" x14ac:dyDescent="0.3">
      <c r="A23">
        <v>985</v>
      </c>
      <c r="B23">
        <v>22.5325847575441</v>
      </c>
      <c r="C23">
        <v>64</v>
      </c>
    </row>
    <row r="24" spans="1:3" x14ac:dyDescent="0.3">
      <c r="A24">
        <v>1050</v>
      </c>
      <c r="B24">
        <v>6.7685040058568102</v>
      </c>
      <c r="C24">
        <v>66</v>
      </c>
    </row>
    <row r="25" spans="1:3" x14ac:dyDescent="0.3">
      <c r="A25">
        <v>1273</v>
      </c>
      <c r="B25">
        <v>10.3134146407246</v>
      </c>
      <c r="C25">
        <v>88</v>
      </c>
    </row>
    <row r="26" spans="1:3" x14ac:dyDescent="0.3">
      <c r="A26">
        <v>1344</v>
      </c>
      <c r="B26">
        <v>10.7170497830957</v>
      </c>
      <c r="C26">
        <v>80</v>
      </c>
    </row>
    <row r="27" spans="1:3" x14ac:dyDescent="0.3">
      <c r="A27">
        <v>1364</v>
      </c>
      <c r="B27">
        <v>11.139865770936</v>
      </c>
      <c r="C27">
        <v>80</v>
      </c>
    </row>
    <row r="28" spans="1:3" x14ac:dyDescent="0.3">
      <c r="A28">
        <v>1431</v>
      </c>
      <c r="B28">
        <v>33.293475311249402</v>
      </c>
      <c r="C28">
        <v>64</v>
      </c>
    </row>
    <row r="29" spans="1:3" x14ac:dyDescent="0.3">
      <c r="A29">
        <v>1455</v>
      </c>
      <c r="B29">
        <v>10.5178289012983</v>
      </c>
      <c r="C29">
        <v>86</v>
      </c>
    </row>
    <row r="30" spans="1:3" x14ac:dyDescent="0.3">
      <c r="A30">
        <v>1578</v>
      </c>
      <c r="B30">
        <v>18.8907348774373</v>
      </c>
      <c r="C30">
        <v>64</v>
      </c>
    </row>
    <row r="31" spans="1:3" x14ac:dyDescent="0.3">
      <c r="A31">
        <v>1627</v>
      </c>
      <c r="B31">
        <v>11.705609266646199</v>
      </c>
      <c r="C31">
        <v>52</v>
      </c>
    </row>
    <row r="32" spans="1:3" x14ac:dyDescent="0.3">
      <c r="A32">
        <v>1638</v>
      </c>
      <c r="B32">
        <v>16.172281577251798</v>
      </c>
      <c r="C32">
        <v>64</v>
      </c>
    </row>
    <row r="33" spans="1:3" x14ac:dyDescent="0.3">
      <c r="A33">
        <v>1697</v>
      </c>
      <c r="B33">
        <v>6.7115282919257799</v>
      </c>
      <c r="C33">
        <v>60</v>
      </c>
    </row>
    <row r="34" spans="1:3" x14ac:dyDescent="0.3">
      <c r="A34">
        <v>1763</v>
      </c>
      <c r="B34">
        <v>21.0500438762828</v>
      </c>
      <c r="C34">
        <v>64</v>
      </c>
    </row>
    <row r="35" spans="1:3" x14ac:dyDescent="0.3">
      <c r="A35">
        <v>1820</v>
      </c>
      <c r="B35">
        <v>36.769471510313402</v>
      </c>
      <c r="C35">
        <v>64</v>
      </c>
    </row>
    <row r="36" spans="1:3" x14ac:dyDescent="0.3">
      <c r="A36">
        <v>1890</v>
      </c>
      <c r="B36">
        <v>10.634712271392299</v>
      </c>
      <c r="C36">
        <v>76</v>
      </c>
    </row>
    <row r="37" spans="1:3" x14ac:dyDescent="0.3">
      <c r="A37">
        <v>2127</v>
      </c>
      <c r="B37">
        <v>9.2657816288992692</v>
      </c>
      <c r="C37">
        <v>66</v>
      </c>
    </row>
    <row r="38" spans="1:3" x14ac:dyDescent="0.3">
      <c r="A38">
        <v>578</v>
      </c>
      <c r="B38">
        <v>7.0397316692396998</v>
      </c>
      <c r="C38">
        <v>74</v>
      </c>
    </row>
    <row r="39" spans="1:3" x14ac:dyDescent="0.3">
      <c r="A39">
        <v>97</v>
      </c>
      <c r="B39">
        <v>87.453110798262003</v>
      </c>
      <c r="C39">
        <v>54</v>
      </c>
    </row>
    <row r="40" spans="1:3" x14ac:dyDescent="0.3">
      <c r="A40">
        <v>1182</v>
      </c>
      <c r="B40">
        <v>15.935094656422701</v>
      </c>
      <c r="C40">
        <v>70</v>
      </c>
    </row>
    <row r="41" spans="1:3" x14ac:dyDescent="0.3">
      <c r="A41">
        <v>928</v>
      </c>
      <c r="B41">
        <v>11.337797930464101</v>
      </c>
      <c r="C41">
        <v>100</v>
      </c>
    </row>
    <row r="42" spans="1:3" x14ac:dyDescent="0.3">
      <c r="B42">
        <f>SUM(B2:B41)</f>
        <v>673.8072125650931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8344-F93F-40C0-8B80-DF9376A66432}">
  <dimension ref="A1:C42"/>
  <sheetViews>
    <sheetView workbookViewId="0">
      <selection activeCell="B42" sqref="B4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157</v>
      </c>
      <c r="B2">
        <v>696.30638434085995</v>
      </c>
      <c r="C2">
        <v>9794</v>
      </c>
    </row>
    <row r="3" spans="1:3" x14ac:dyDescent="0.3">
      <c r="A3">
        <v>279</v>
      </c>
      <c r="B3">
        <v>745.35955500043895</v>
      </c>
      <c r="C3">
        <v>10264</v>
      </c>
    </row>
    <row r="4" spans="1:3" x14ac:dyDescent="0.3">
      <c r="A4">
        <v>328</v>
      </c>
      <c r="B4">
        <v>633.51474461052499</v>
      </c>
      <c r="C4">
        <v>9100</v>
      </c>
    </row>
    <row r="5" spans="1:3" x14ac:dyDescent="0.3">
      <c r="A5">
        <v>329</v>
      </c>
      <c r="B5">
        <v>770.79243441391702</v>
      </c>
      <c r="C5">
        <v>10413</v>
      </c>
    </row>
    <row r="6" spans="1:3" x14ac:dyDescent="0.3">
      <c r="A6">
        <v>444</v>
      </c>
      <c r="B6">
        <v>616.33151573035798</v>
      </c>
      <c r="C6">
        <v>8799</v>
      </c>
    </row>
    <row r="7" spans="1:3" x14ac:dyDescent="0.3">
      <c r="A7">
        <v>493</v>
      </c>
      <c r="B7">
        <v>769.75597434490896</v>
      </c>
      <c r="C7">
        <v>11052</v>
      </c>
    </row>
    <row r="8" spans="1:3" x14ac:dyDescent="0.3">
      <c r="A8">
        <v>527</v>
      </c>
      <c r="B8">
        <v>709.73368260636903</v>
      </c>
      <c r="C8">
        <v>10173</v>
      </c>
    </row>
    <row r="9" spans="1:3" x14ac:dyDescent="0.3">
      <c r="A9">
        <v>576</v>
      </c>
      <c r="B9">
        <v>698.01935959979801</v>
      </c>
      <c r="C9">
        <v>9902</v>
      </c>
    </row>
    <row r="10" spans="1:3" x14ac:dyDescent="0.3">
      <c r="A10">
        <v>588</v>
      </c>
      <c r="B10">
        <v>834.53660505358096</v>
      </c>
      <c r="C10">
        <v>11376</v>
      </c>
    </row>
    <row r="11" spans="1:3" x14ac:dyDescent="0.3">
      <c r="A11">
        <v>623</v>
      </c>
      <c r="B11">
        <v>638.76404220983295</v>
      </c>
      <c r="C11">
        <v>9275</v>
      </c>
    </row>
    <row r="12" spans="1:3" x14ac:dyDescent="0.3">
      <c r="A12">
        <v>632</v>
      </c>
      <c r="B12">
        <v>723.72461965307502</v>
      </c>
      <c r="C12">
        <v>9843</v>
      </c>
    </row>
    <row r="13" spans="1:3" x14ac:dyDescent="0.3">
      <c r="A13">
        <v>638</v>
      </c>
      <c r="B13">
        <v>608.32727923989296</v>
      </c>
      <c r="C13">
        <v>8815</v>
      </c>
    </row>
    <row r="14" spans="1:3" x14ac:dyDescent="0.3">
      <c r="A14">
        <v>645</v>
      </c>
      <c r="B14">
        <v>875.10683012008599</v>
      </c>
      <c r="C14">
        <v>12292</v>
      </c>
    </row>
    <row r="15" spans="1:3" x14ac:dyDescent="0.3">
      <c r="A15">
        <v>647</v>
      </c>
      <c r="B15">
        <v>871.60788955911903</v>
      </c>
      <c r="C15">
        <v>12559</v>
      </c>
    </row>
    <row r="16" spans="1:3" x14ac:dyDescent="0.3">
      <c r="A16">
        <v>735</v>
      </c>
      <c r="B16">
        <v>745.54992167558498</v>
      </c>
      <c r="C16">
        <v>10511</v>
      </c>
    </row>
    <row r="17" spans="1:3" x14ac:dyDescent="0.3">
      <c r="A17">
        <v>752</v>
      </c>
      <c r="B17">
        <v>711.67813629470697</v>
      </c>
      <c r="C17">
        <v>10176</v>
      </c>
    </row>
    <row r="18" spans="1:3" x14ac:dyDescent="0.3">
      <c r="A18">
        <v>758</v>
      </c>
      <c r="B18">
        <v>528.28134724684003</v>
      </c>
      <c r="C18">
        <v>7682</v>
      </c>
    </row>
    <row r="19" spans="1:3" x14ac:dyDescent="0.3">
      <c r="A19">
        <v>786</v>
      </c>
      <c r="B19">
        <v>872.99538378696798</v>
      </c>
      <c r="C19">
        <v>10810</v>
      </c>
    </row>
    <row r="20" spans="1:3" x14ac:dyDescent="0.3">
      <c r="A20">
        <v>798</v>
      </c>
      <c r="B20">
        <v>607.32991084642697</v>
      </c>
      <c r="C20">
        <v>8722</v>
      </c>
    </row>
    <row r="21" spans="1:3" x14ac:dyDescent="0.3">
      <c r="A21">
        <v>808</v>
      </c>
      <c r="B21">
        <v>573.41149063687703</v>
      </c>
      <c r="C21">
        <v>8329</v>
      </c>
    </row>
    <row r="22" spans="1:3" x14ac:dyDescent="0.3">
      <c r="A22">
        <v>956</v>
      </c>
      <c r="B22">
        <v>661.098734775558</v>
      </c>
      <c r="C22">
        <v>9299</v>
      </c>
    </row>
    <row r="23" spans="1:3" x14ac:dyDescent="0.3">
      <c r="A23">
        <v>985</v>
      </c>
      <c r="B23">
        <v>602.05806739162597</v>
      </c>
      <c r="C23">
        <v>8239</v>
      </c>
    </row>
    <row r="24" spans="1:3" x14ac:dyDescent="0.3">
      <c r="A24">
        <v>1050</v>
      </c>
      <c r="B24">
        <v>652.659022274427</v>
      </c>
      <c r="C24">
        <v>9540</v>
      </c>
    </row>
    <row r="25" spans="1:3" x14ac:dyDescent="0.3">
      <c r="A25">
        <v>1273</v>
      </c>
      <c r="B25">
        <v>570.86974699888299</v>
      </c>
      <c r="C25">
        <v>8253</v>
      </c>
    </row>
    <row r="26" spans="1:3" x14ac:dyDescent="0.3">
      <c r="A26">
        <v>1344</v>
      </c>
      <c r="B26">
        <v>686.72730230260595</v>
      </c>
      <c r="C26">
        <v>9959</v>
      </c>
    </row>
    <row r="27" spans="1:3" x14ac:dyDescent="0.3">
      <c r="A27">
        <v>1364</v>
      </c>
      <c r="B27">
        <v>603.40199413522998</v>
      </c>
      <c r="C27">
        <v>8722</v>
      </c>
    </row>
    <row r="28" spans="1:3" x14ac:dyDescent="0.3">
      <c r="A28">
        <v>1431</v>
      </c>
      <c r="B28">
        <v>823.84280851390201</v>
      </c>
      <c r="C28">
        <v>10620</v>
      </c>
    </row>
    <row r="29" spans="1:3" x14ac:dyDescent="0.3">
      <c r="A29">
        <v>1455</v>
      </c>
      <c r="B29">
        <v>758.71221031900495</v>
      </c>
      <c r="C29">
        <v>11032</v>
      </c>
    </row>
    <row r="30" spans="1:3" x14ac:dyDescent="0.3">
      <c r="A30">
        <v>1578</v>
      </c>
      <c r="B30">
        <v>769.52259832154903</v>
      </c>
      <c r="C30">
        <v>10794</v>
      </c>
    </row>
    <row r="31" spans="1:3" x14ac:dyDescent="0.3">
      <c r="A31">
        <v>1627</v>
      </c>
      <c r="B31">
        <v>707.702192767523</v>
      </c>
      <c r="C31">
        <v>10202</v>
      </c>
    </row>
    <row r="32" spans="1:3" x14ac:dyDescent="0.3">
      <c r="A32">
        <v>1638</v>
      </c>
      <c r="B32">
        <v>704.41302482504398</v>
      </c>
      <c r="C32">
        <v>10013</v>
      </c>
    </row>
    <row r="33" spans="1:3" x14ac:dyDescent="0.3">
      <c r="A33">
        <v>1697</v>
      </c>
      <c r="B33">
        <v>598.13850479107305</v>
      </c>
      <c r="C33">
        <v>8735</v>
      </c>
    </row>
    <row r="34" spans="1:3" x14ac:dyDescent="0.3">
      <c r="A34">
        <v>1763</v>
      </c>
      <c r="B34">
        <v>687.41550142690505</v>
      </c>
      <c r="C34">
        <v>9518</v>
      </c>
    </row>
    <row r="35" spans="1:3" x14ac:dyDescent="0.3">
      <c r="A35">
        <v>1820</v>
      </c>
      <c r="B35">
        <v>883.80789782386205</v>
      </c>
      <c r="C35">
        <v>11163</v>
      </c>
    </row>
    <row r="36" spans="1:3" x14ac:dyDescent="0.3">
      <c r="A36">
        <v>1890</v>
      </c>
      <c r="B36">
        <v>498.18120162561502</v>
      </c>
      <c r="C36">
        <v>7198</v>
      </c>
    </row>
    <row r="37" spans="1:3" x14ac:dyDescent="0.3">
      <c r="A37">
        <v>2127</v>
      </c>
      <c r="B37">
        <v>735.64165208674899</v>
      </c>
      <c r="C37">
        <v>10693</v>
      </c>
    </row>
    <row r="38" spans="1:3" x14ac:dyDescent="0.3">
      <c r="A38">
        <v>578</v>
      </c>
      <c r="B38">
        <v>624.92097996734003</v>
      </c>
      <c r="C38">
        <v>9156</v>
      </c>
    </row>
    <row r="39" spans="1:3" x14ac:dyDescent="0.3">
      <c r="A39">
        <v>97</v>
      </c>
      <c r="B39">
        <v>871.908032427541</v>
      </c>
      <c r="C39">
        <v>8568</v>
      </c>
    </row>
    <row r="40" spans="1:3" x14ac:dyDescent="0.3">
      <c r="A40">
        <v>1182</v>
      </c>
      <c r="B40">
        <v>700.141072970815</v>
      </c>
      <c r="C40">
        <v>10060</v>
      </c>
    </row>
    <row r="41" spans="1:3" x14ac:dyDescent="0.3">
      <c r="A41">
        <v>928</v>
      </c>
      <c r="B41">
        <v>760.67500428482799</v>
      </c>
      <c r="C41">
        <v>11196</v>
      </c>
    </row>
    <row r="42" spans="1:3" x14ac:dyDescent="0.3">
      <c r="B42">
        <f>SUM(B2:B41)</f>
        <v>28132.964657000262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AAF2-C025-4110-A0DA-7CD2C2F1BED5}">
  <dimension ref="A1:C42"/>
  <sheetViews>
    <sheetView workbookViewId="0">
      <selection activeCell="B42" sqref="B4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157</v>
      </c>
      <c r="B2">
        <v>13.374798616394401</v>
      </c>
      <c r="C2">
        <v>68</v>
      </c>
    </row>
    <row r="3" spans="1:3" x14ac:dyDescent="0.3">
      <c r="A3">
        <v>279</v>
      </c>
      <c r="B3">
        <v>19.262943428009699</v>
      </c>
      <c r="C3">
        <v>68</v>
      </c>
    </row>
    <row r="4" spans="1:3" x14ac:dyDescent="0.3">
      <c r="A4">
        <v>328</v>
      </c>
      <c r="B4">
        <v>8.5482557713985408</v>
      </c>
      <c r="C4">
        <v>92</v>
      </c>
    </row>
    <row r="5" spans="1:3" x14ac:dyDescent="0.3">
      <c r="A5">
        <v>329</v>
      </c>
      <c r="B5">
        <v>22.482747801579499</v>
      </c>
      <c r="C5">
        <v>62</v>
      </c>
    </row>
    <row r="6" spans="1:3" x14ac:dyDescent="0.3">
      <c r="A6">
        <v>444</v>
      </c>
      <c r="B6">
        <v>9.6840344909578508</v>
      </c>
      <c r="C6">
        <v>88</v>
      </c>
    </row>
    <row r="7" spans="1:3" x14ac:dyDescent="0.3">
      <c r="A7">
        <v>493</v>
      </c>
      <c r="B7">
        <v>7.7426339238882003</v>
      </c>
      <c r="C7">
        <v>82</v>
      </c>
    </row>
    <row r="8" spans="1:3" x14ac:dyDescent="0.3">
      <c r="A8">
        <v>527</v>
      </c>
      <c r="B8">
        <v>8.9211289919912797</v>
      </c>
      <c r="C8">
        <v>78</v>
      </c>
    </row>
    <row r="9" spans="1:3" x14ac:dyDescent="0.3">
      <c r="A9">
        <v>576</v>
      </c>
      <c r="B9">
        <v>13.064820327795999</v>
      </c>
      <c r="C9">
        <v>62</v>
      </c>
    </row>
    <row r="10" spans="1:3" x14ac:dyDescent="0.3">
      <c r="A10">
        <v>588</v>
      </c>
      <c r="B10">
        <v>22.5005644867196</v>
      </c>
      <c r="C10">
        <v>64</v>
      </c>
    </row>
    <row r="11" spans="1:3" x14ac:dyDescent="0.3">
      <c r="A11">
        <v>623</v>
      </c>
      <c r="B11">
        <v>9.1279200287535698</v>
      </c>
      <c r="C11">
        <v>92</v>
      </c>
    </row>
    <row r="12" spans="1:3" x14ac:dyDescent="0.3">
      <c r="A12">
        <v>632</v>
      </c>
      <c r="B12">
        <v>22.716971480287601</v>
      </c>
      <c r="C12">
        <v>64</v>
      </c>
    </row>
    <row r="13" spans="1:3" x14ac:dyDescent="0.3">
      <c r="A13">
        <v>638</v>
      </c>
      <c r="B13">
        <v>6.2769973743706897</v>
      </c>
      <c r="C13">
        <v>52</v>
      </c>
    </row>
    <row r="14" spans="1:3" x14ac:dyDescent="0.3">
      <c r="A14">
        <v>645</v>
      </c>
      <c r="B14">
        <v>18.500122349709201</v>
      </c>
      <c r="C14">
        <v>74</v>
      </c>
    </row>
    <row r="15" spans="1:3" x14ac:dyDescent="0.3">
      <c r="A15">
        <v>647</v>
      </c>
      <c r="B15">
        <v>11.513919488526801</v>
      </c>
      <c r="C15">
        <v>64</v>
      </c>
    </row>
    <row r="16" spans="1:3" x14ac:dyDescent="0.3">
      <c r="A16">
        <v>735</v>
      </c>
      <c r="B16">
        <v>16.8731268849223</v>
      </c>
      <c r="C16">
        <v>62</v>
      </c>
    </row>
    <row r="17" spans="1:3" x14ac:dyDescent="0.3">
      <c r="A17">
        <v>752</v>
      </c>
      <c r="B17">
        <v>13.0619648918509</v>
      </c>
      <c r="C17">
        <v>58</v>
      </c>
    </row>
    <row r="18" spans="1:3" x14ac:dyDescent="0.3">
      <c r="A18">
        <v>758</v>
      </c>
      <c r="B18">
        <v>8.2660945458337594</v>
      </c>
      <c r="C18">
        <v>70</v>
      </c>
    </row>
    <row r="19" spans="1:3" x14ac:dyDescent="0.3">
      <c r="A19">
        <v>786</v>
      </c>
      <c r="B19">
        <v>39.246685259044099</v>
      </c>
      <c r="C19">
        <v>64</v>
      </c>
    </row>
    <row r="20" spans="1:3" x14ac:dyDescent="0.3">
      <c r="A20">
        <v>798</v>
      </c>
      <c r="B20">
        <v>12.185313522815701</v>
      </c>
      <c r="C20">
        <v>72</v>
      </c>
    </row>
    <row r="21" spans="1:3" x14ac:dyDescent="0.3">
      <c r="A21">
        <v>808</v>
      </c>
      <c r="B21">
        <v>8.7409411109983903</v>
      </c>
      <c r="C21">
        <v>66</v>
      </c>
    </row>
    <row r="22" spans="1:3" x14ac:dyDescent="0.3">
      <c r="A22">
        <v>956</v>
      </c>
      <c r="B22">
        <v>17.461568889208099</v>
      </c>
      <c r="C22">
        <v>62</v>
      </c>
    </row>
    <row r="23" spans="1:3" x14ac:dyDescent="0.3">
      <c r="A23">
        <v>985</v>
      </c>
      <c r="B23">
        <v>22.0853495020419</v>
      </c>
      <c r="C23">
        <v>64</v>
      </c>
    </row>
    <row r="24" spans="1:3" x14ac:dyDescent="0.3">
      <c r="A24">
        <v>1050</v>
      </c>
      <c r="B24">
        <v>6.41025916486978</v>
      </c>
      <c r="C24">
        <v>60</v>
      </c>
    </row>
    <row r="25" spans="1:3" x14ac:dyDescent="0.3">
      <c r="A25">
        <v>1273</v>
      </c>
      <c r="B25">
        <v>9.4597341408953</v>
      </c>
      <c r="C25">
        <v>72</v>
      </c>
    </row>
    <row r="26" spans="1:3" x14ac:dyDescent="0.3">
      <c r="A26">
        <v>1344</v>
      </c>
      <c r="B26">
        <v>11.163059066981001</v>
      </c>
      <c r="C26">
        <v>86</v>
      </c>
    </row>
    <row r="27" spans="1:3" x14ac:dyDescent="0.3">
      <c r="A27">
        <v>1364</v>
      </c>
      <c r="B27">
        <v>11.0999108850955</v>
      </c>
      <c r="C27">
        <v>80</v>
      </c>
    </row>
    <row r="28" spans="1:3" x14ac:dyDescent="0.3">
      <c r="A28">
        <v>1431</v>
      </c>
      <c r="B28">
        <v>32.662548173218902</v>
      </c>
      <c r="C28">
        <v>64</v>
      </c>
    </row>
    <row r="29" spans="1:3" x14ac:dyDescent="0.3">
      <c r="A29">
        <v>1455</v>
      </c>
      <c r="B29">
        <v>9.3513142196461505</v>
      </c>
      <c r="C29">
        <v>66</v>
      </c>
    </row>
    <row r="30" spans="1:3" x14ac:dyDescent="0.3">
      <c r="A30">
        <v>1578</v>
      </c>
      <c r="B30">
        <v>18.514797722920701</v>
      </c>
      <c r="C30">
        <v>64</v>
      </c>
    </row>
    <row r="31" spans="1:3" x14ac:dyDescent="0.3">
      <c r="A31">
        <v>1627</v>
      </c>
      <c r="B31">
        <v>11.6303234901279</v>
      </c>
      <c r="C31">
        <v>58</v>
      </c>
    </row>
    <row r="32" spans="1:3" x14ac:dyDescent="0.3">
      <c r="A32">
        <v>1638</v>
      </c>
      <c r="B32">
        <v>15.7503178184852</v>
      </c>
      <c r="C32">
        <v>64</v>
      </c>
    </row>
    <row r="33" spans="1:3" x14ac:dyDescent="0.3">
      <c r="A33">
        <v>1697</v>
      </c>
      <c r="B33">
        <v>7.2895257733762202</v>
      </c>
      <c r="C33">
        <v>70</v>
      </c>
    </row>
    <row r="34" spans="1:3" x14ac:dyDescent="0.3">
      <c r="A34">
        <v>1763</v>
      </c>
      <c r="B34">
        <v>20.556470055133101</v>
      </c>
      <c r="C34">
        <v>64</v>
      </c>
    </row>
    <row r="35" spans="1:3" x14ac:dyDescent="0.3">
      <c r="A35">
        <v>1820</v>
      </c>
      <c r="B35">
        <v>36.0907437959685</v>
      </c>
      <c r="C35">
        <v>62</v>
      </c>
    </row>
    <row r="36" spans="1:3" x14ac:dyDescent="0.3">
      <c r="A36">
        <v>1890</v>
      </c>
      <c r="B36">
        <v>9.8410637928172893</v>
      </c>
      <c r="C36">
        <v>64</v>
      </c>
    </row>
    <row r="37" spans="1:3" x14ac:dyDescent="0.3">
      <c r="A37">
        <v>2127</v>
      </c>
      <c r="B37">
        <v>8.6237236820161307</v>
      </c>
      <c r="C37">
        <v>58</v>
      </c>
    </row>
    <row r="38" spans="1:3" x14ac:dyDescent="0.3">
      <c r="A38">
        <v>578</v>
      </c>
      <c r="B38">
        <v>8.0477150082588196</v>
      </c>
      <c r="C38">
        <v>86</v>
      </c>
    </row>
    <row r="39" spans="1:3" x14ac:dyDescent="0.3">
      <c r="A39">
        <v>97</v>
      </c>
      <c r="B39">
        <v>85.813415759243</v>
      </c>
      <c r="C39">
        <v>50</v>
      </c>
    </row>
    <row r="40" spans="1:3" x14ac:dyDescent="0.3">
      <c r="A40">
        <v>1182</v>
      </c>
      <c r="B40">
        <v>15.133896211162201</v>
      </c>
      <c r="C40">
        <v>62</v>
      </c>
    </row>
    <row r="41" spans="1:3" x14ac:dyDescent="0.3">
      <c r="A41">
        <v>928</v>
      </c>
      <c r="B41">
        <v>10.101200107485001</v>
      </c>
      <c r="C41">
        <v>76</v>
      </c>
    </row>
    <row r="42" spans="1:3" x14ac:dyDescent="0.3">
      <c r="B42">
        <f>SUM(B2:B41)</f>
        <v>659.17892203479892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36FC-3233-4D85-B90B-7EFF69AA95E6}">
  <dimension ref="A1:C42"/>
  <sheetViews>
    <sheetView workbookViewId="0">
      <selection activeCell="B42" sqref="B4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157</v>
      </c>
      <c r="B2">
        <v>837.76936176791696</v>
      </c>
      <c r="C2">
        <v>12226</v>
      </c>
    </row>
    <row r="3" spans="1:3" x14ac:dyDescent="0.3">
      <c r="A3">
        <v>279</v>
      </c>
      <c r="B3">
        <v>820.74278687499395</v>
      </c>
      <c r="C3">
        <v>11768</v>
      </c>
    </row>
    <row r="4" spans="1:3" x14ac:dyDescent="0.3">
      <c r="A4">
        <v>328</v>
      </c>
      <c r="B4">
        <v>617.16646265238501</v>
      </c>
      <c r="C4">
        <v>9287</v>
      </c>
    </row>
    <row r="5" spans="1:3" x14ac:dyDescent="0.3">
      <c r="A5">
        <v>329</v>
      </c>
      <c r="B5">
        <v>879.072118657641</v>
      </c>
      <c r="C5">
        <v>12443</v>
      </c>
    </row>
    <row r="6" spans="1:3" x14ac:dyDescent="0.3">
      <c r="A6">
        <v>444</v>
      </c>
      <c r="B6">
        <v>579.41491976007796</v>
      </c>
      <c r="C6">
        <v>8678</v>
      </c>
    </row>
    <row r="7" spans="1:3" x14ac:dyDescent="0.3">
      <c r="A7">
        <v>493</v>
      </c>
      <c r="B7">
        <v>804.02317688427797</v>
      </c>
      <c r="C7">
        <v>12119</v>
      </c>
    </row>
    <row r="8" spans="1:3" x14ac:dyDescent="0.3">
      <c r="A8">
        <v>527</v>
      </c>
      <c r="B8">
        <v>711.06574460305205</v>
      </c>
      <c r="C8">
        <v>10683</v>
      </c>
    </row>
    <row r="9" spans="1:3" x14ac:dyDescent="0.3">
      <c r="A9">
        <v>576</v>
      </c>
      <c r="B9">
        <v>708.13716080971005</v>
      </c>
      <c r="C9">
        <v>10454</v>
      </c>
    </row>
    <row r="10" spans="1:3" x14ac:dyDescent="0.3">
      <c r="A10">
        <v>588</v>
      </c>
      <c r="B10">
        <v>829.70250856876305</v>
      </c>
      <c r="C10">
        <v>11778</v>
      </c>
    </row>
    <row r="11" spans="1:3" x14ac:dyDescent="0.3">
      <c r="A11">
        <v>623</v>
      </c>
      <c r="B11">
        <v>755.58084650710202</v>
      </c>
      <c r="C11">
        <v>11397</v>
      </c>
    </row>
    <row r="12" spans="1:3" x14ac:dyDescent="0.3">
      <c r="A12">
        <v>632</v>
      </c>
      <c r="B12">
        <v>784.56314657442203</v>
      </c>
      <c r="C12">
        <v>11169</v>
      </c>
    </row>
    <row r="13" spans="1:3" x14ac:dyDescent="0.3">
      <c r="A13">
        <v>638</v>
      </c>
      <c r="B13">
        <v>563.898060722276</v>
      </c>
      <c r="C13">
        <v>8603</v>
      </c>
    </row>
    <row r="14" spans="1:3" x14ac:dyDescent="0.3">
      <c r="A14">
        <v>645</v>
      </c>
      <c r="B14">
        <v>829.39555781241495</v>
      </c>
      <c r="C14">
        <v>12248</v>
      </c>
    </row>
    <row r="15" spans="1:3" x14ac:dyDescent="0.3">
      <c r="A15">
        <v>647</v>
      </c>
      <c r="B15">
        <v>744.32770242541994</v>
      </c>
      <c r="C15">
        <v>11238</v>
      </c>
    </row>
    <row r="16" spans="1:3" x14ac:dyDescent="0.3">
      <c r="A16">
        <v>735</v>
      </c>
      <c r="B16">
        <v>716.92399929556996</v>
      </c>
      <c r="C16">
        <v>10596</v>
      </c>
    </row>
    <row r="17" spans="1:3" x14ac:dyDescent="0.3">
      <c r="A17">
        <v>752</v>
      </c>
      <c r="B17">
        <v>764.686258058063</v>
      </c>
      <c r="C17">
        <v>11478</v>
      </c>
    </row>
    <row r="18" spans="1:3" x14ac:dyDescent="0.3">
      <c r="A18">
        <v>758</v>
      </c>
      <c r="B18">
        <v>624.07791357207998</v>
      </c>
      <c r="C18">
        <v>9529</v>
      </c>
    </row>
    <row r="19" spans="1:3" x14ac:dyDescent="0.3">
      <c r="A19">
        <v>786</v>
      </c>
      <c r="B19">
        <v>906.59577207453503</v>
      </c>
      <c r="C19">
        <v>11776</v>
      </c>
    </row>
    <row r="20" spans="1:3" x14ac:dyDescent="0.3">
      <c r="A20">
        <v>798</v>
      </c>
      <c r="B20">
        <v>683.11869090609196</v>
      </c>
      <c r="C20">
        <v>10317</v>
      </c>
    </row>
    <row r="21" spans="1:3" x14ac:dyDescent="0.3">
      <c r="A21">
        <v>808</v>
      </c>
      <c r="B21">
        <v>653.28264248836695</v>
      </c>
      <c r="C21">
        <v>9941</v>
      </c>
    </row>
    <row r="22" spans="1:3" x14ac:dyDescent="0.3">
      <c r="A22">
        <v>956</v>
      </c>
      <c r="B22">
        <v>640.49638131354004</v>
      </c>
      <c r="C22">
        <v>9441</v>
      </c>
    </row>
    <row r="23" spans="1:3" x14ac:dyDescent="0.3">
      <c r="A23">
        <v>985</v>
      </c>
      <c r="B23">
        <v>704.56740291975404</v>
      </c>
      <c r="C23">
        <v>10124</v>
      </c>
    </row>
    <row r="24" spans="1:3" x14ac:dyDescent="0.3">
      <c r="A24">
        <v>1050</v>
      </c>
      <c r="B24">
        <v>525.25651788711502</v>
      </c>
      <c r="C24">
        <v>8100</v>
      </c>
    </row>
    <row r="25" spans="1:3" x14ac:dyDescent="0.3">
      <c r="A25">
        <v>1273</v>
      </c>
      <c r="B25">
        <v>648.92277425900102</v>
      </c>
      <c r="C25">
        <v>9919</v>
      </c>
    </row>
    <row r="26" spans="1:3" x14ac:dyDescent="0.3">
      <c r="A26">
        <v>1344</v>
      </c>
      <c r="B26">
        <v>742.15606033801998</v>
      </c>
      <c r="C26">
        <v>11301</v>
      </c>
    </row>
    <row r="27" spans="1:3" x14ac:dyDescent="0.3">
      <c r="A27">
        <v>1364</v>
      </c>
      <c r="B27">
        <v>644.33307681977703</v>
      </c>
      <c r="C27">
        <v>9809</v>
      </c>
    </row>
    <row r="28" spans="1:3" x14ac:dyDescent="0.3">
      <c r="A28">
        <v>1431</v>
      </c>
      <c r="B28">
        <v>808.43375167529996</v>
      </c>
      <c r="C28">
        <v>10922</v>
      </c>
    </row>
    <row r="29" spans="1:3" x14ac:dyDescent="0.3">
      <c r="A29">
        <v>1455</v>
      </c>
      <c r="B29">
        <v>678.20585465058605</v>
      </c>
      <c r="C29">
        <v>10367</v>
      </c>
    </row>
    <row r="30" spans="1:3" x14ac:dyDescent="0.3">
      <c r="A30">
        <v>1578</v>
      </c>
      <c r="B30">
        <v>736.72274939902104</v>
      </c>
      <c r="C30">
        <v>10875</v>
      </c>
    </row>
    <row r="31" spans="1:3" x14ac:dyDescent="0.3">
      <c r="A31">
        <v>1627</v>
      </c>
      <c r="B31">
        <v>625.02323364000699</v>
      </c>
      <c r="C31">
        <v>9466</v>
      </c>
    </row>
    <row r="32" spans="1:3" x14ac:dyDescent="0.3">
      <c r="A32">
        <v>1638</v>
      </c>
      <c r="B32">
        <v>747.86440549325198</v>
      </c>
      <c r="C32">
        <v>11204</v>
      </c>
    </row>
    <row r="33" spans="1:3" x14ac:dyDescent="0.3">
      <c r="A33">
        <v>1697</v>
      </c>
      <c r="B33">
        <v>501.21087981667301</v>
      </c>
      <c r="C33">
        <v>7708</v>
      </c>
    </row>
    <row r="34" spans="1:3" x14ac:dyDescent="0.3">
      <c r="A34">
        <v>1763</v>
      </c>
      <c r="B34">
        <v>685.90855893958303</v>
      </c>
      <c r="C34">
        <v>9958</v>
      </c>
    </row>
    <row r="35" spans="1:3" x14ac:dyDescent="0.3">
      <c r="A35">
        <v>1820</v>
      </c>
      <c r="B35">
        <v>892.26378656085501</v>
      </c>
      <c r="C35">
        <v>11832</v>
      </c>
    </row>
    <row r="36" spans="1:3" x14ac:dyDescent="0.3">
      <c r="A36">
        <v>1890</v>
      </c>
      <c r="B36">
        <v>491.18670852389101</v>
      </c>
      <c r="C36">
        <v>7473</v>
      </c>
    </row>
    <row r="37" spans="1:3" x14ac:dyDescent="0.3">
      <c r="A37">
        <v>2127</v>
      </c>
      <c r="B37">
        <v>727.55836283601798</v>
      </c>
      <c r="C37">
        <v>11134</v>
      </c>
    </row>
    <row r="38" spans="1:3" x14ac:dyDescent="0.3">
      <c r="A38">
        <v>578</v>
      </c>
      <c r="B38">
        <v>559.35565815400298</v>
      </c>
      <c r="C38">
        <v>8597</v>
      </c>
    </row>
    <row r="39" spans="1:3" x14ac:dyDescent="0.3">
      <c r="A39">
        <v>97</v>
      </c>
      <c r="B39">
        <v>935.51775908749505</v>
      </c>
      <c r="C39">
        <v>9602</v>
      </c>
    </row>
    <row r="40" spans="1:3" x14ac:dyDescent="0.3">
      <c r="A40">
        <v>1182</v>
      </c>
      <c r="B40">
        <v>818.97729805856898</v>
      </c>
      <c r="C40">
        <v>12285</v>
      </c>
    </row>
    <row r="41" spans="1:3" x14ac:dyDescent="0.3">
      <c r="A41">
        <v>928</v>
      </c>
      <c r="B41">
        <v>686.30953303817603</v>
      </c>
      <c r="C41">
        <v>10461</v>
      </c>
    </row>
    <row r="42" spans="1:3" x14ac:dyDescent="0.3">
      <c r="B42">
        <f>SUM(B2:B41)</f>
        <v>28613.815584425807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time model results</vt:lpstr>
      <vt:lpstr>time_model_results_train_few_no</vt:lpstr>
      <vt:lpstr>time_model_results_train_few_th</vt:lpstr>
      <vt:lpstr>time_model_results_train_zero_n</vt:lpstr>
      <vt:lpstr>time_model_results_train_zero_t</vt:lpstr>
      <vt:lpstr>time_model_results_val_few_no</vt:lpstr>
      <vt:lpstr>time_model_results_val_few_thin</vt:lpstr>
      <vt:lpstr>time_model_results_val_zero_no</vt:lpstr>
      <vt:lpstr>time_model_results_val_zero_thi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Rylie Denehan</cp:lastModifiedBy>
  <dcterms:created xsi:type="dcterms:W3CDTF">2026-04-21T03:51:21Z</dcterms:created>
  <dcterms:modified xsi:type="dcterms:W3CDTF">2026-04-21T03:51:30Z</dcterms:modified>
</cp:coreProperties>
</file>